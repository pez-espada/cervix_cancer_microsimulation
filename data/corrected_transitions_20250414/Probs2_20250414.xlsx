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ntoliu\OneDrive - Generalitat de Catalunya\PREC\Modeling\Cervix_AMontoliu\Microsimulacio_Carlos_Sandra\Data_20250414\"/>
    </mc:Choice>
  </mc:AlternateContent>
  <xr:revisionPtr revIDLastSave="0" documentId="13_ncr:1_{98BD2660-77B7-45C1-8551-6730570F1F63}" xr6:coauthVersionLast="47" xr6:coauthVersionMax="47" xr10:uidLastSave="{00000000-0000-0000-0000-000000000000}"/>
  <bookViews>
    <workbookView xWindow="28680" yWindow="-120" windowWidth="29040" windowHeight="15840" xr2:uid="{ECCE7985-643D-4B6F-B531-7ECD9D3F7025}"/>
  </bookViews>
  <sheets>
    <sheet name="prob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70" i="1"/>
  <c r="B158" i="1"/>
  <c r="B146" i="1"/>
  <c r="B134" i="1"/>
  <c r="B122" i="1"/>
  <c r="B110" i="1"/>
  <c r="B98" i="1"/>
  <c r="B86" i="1"/>
  <c r="B74" i="1"/>
  <c r="B62" i="1"/>
  <c r="B50" i="1"/>
  <c r="B38" i="1"/>
  <c r="B26" i="1" l="1"/>
  <c r="B14" i="1"/>
  <c r="C158" i="1"/>
  <c r="C146" i="1"/>
  <c r="C134" i="1"/>
  <c r="C122" i="1"/>
  <c r="C110" i="1"/>
  <c r="C98" i="1"/>
  <c r="C86" i="1"/>
  <c r="C74" i="1"/>
  <c r="C62" i="1"/>
  <c r="C50" i="1"/>
  <c r="C38" i="1"/>
  <c r="C170" i="1"/>
  <c r="C26" i="1"/>
  <c r="C14" i="1"/>
  <c r="C2" i="1"/>
</calcChain>
</file>

<file path=xl/sharedStrings.xml><?xml version="1.0" encoding="utf-8"?>
<sst xmlns="http://schemas.openxmlformats.org/spreadsheetml/2006/main" count="193" uniqueCount="28">
  <si>
    <t>Age group</t>
  </si>
  <si>
    <t>Well</t>
  </si>
  <si>
    <t>HR.HPV.infection</t>
  </si>
  <si>
    <t>CIN1</t>
  </si>
  <si>
    <t>CIN2</t>
  </si>
  <si>
    <t>CIN3</t>
  </si>
  <si>
    <t>FIGO.I</t>
  </si>
  <si>
    <t>FIGO.II</t>
  </si>
  <si>
    <t>FIGO.III</t>
  </si>
  <si>
    <t>FIGO.IV</t>
  </si>
  <si>
    <t>Survival</t>
  </si>
  <si>
    <t>CC_Death</t>
  </si>
  <si>
    <t>Other.Death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</si>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</sst>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rgb="FF000000"/>
      <name val="Lucida Console"/>
      <family val="3"/>
    </font>
    <font>
      <sz val="10"/>
      <color rgb="FFFF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49" fontId="0" fillId="3" borderId="0" xfId="0" quotePrefix="1" applyNumberFormat="1" applyFill="1"/>
    <xf numFmtId="49" fontId="0" fillId="0" borderId="0" xfId="0" applyNumberFormat="1"/>
    <xf numFmtId="49" fontId="0" fillId="0" borderId="0" xfId="0" quotePrefix="1" applyNumberFormat="1"/>
    <xf numFmtId="11" fontId="3" fillId="0" borderId="0" xfId="0" applyNumberFormat="1" applyFont="1" applyAlignment="1">
      <alignment vertical="center"/>
    </xf>
    <xf numFmtId="49" fontId="0" fillId="3" borderId="0" xfId="0" applyNumberFormat="1" applyFill="1"/>
    <xf numFmtId="11" fontId="0" fillId="3" borderId="0" xfId="0" applyNumberFormat="1" applyFill="1"/>
    <xf numFmtId="11" fontId="4" fillId="0" borderId="0" xfId="0" applyNumberFormat="1" applyFont="1" applyAlignment="1">
      <alignment vertical="center"/>
    </xf>
  </cellXfs>
  <cellStyles count="3">
    <cellStyle name="Neutral 2" xfId="2" xr:uid="{AAAB1072-68E1-4250-BAEB-926E1959B43E}"/>
    <cellStyle name="Normal" xfId="0" builtinId="0"/>
    <cellStyle name="Total" xfId="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5055-F299-44C6-B848-71A8C23E5D2F}">
  <dimension ref="A1:M181"/>
  <sheetViews>
    <sheetView tabSelected="1" workbookViewId="0">
      <selection activeCell="Q23" sqref="Q23"/>
    </sheetView>
  </sheetViews>
  <sheetFormatPr baseColWidth="10" defaultRowHeight="15" x14ac:dyDescent="0.25"/>
  <sheetData>
    <row r="1" spans="1:13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 t="s">
        <v>13</v>
      </c>
      <c r="B2" s="7">
        <f>1-(C2+M2)</f>
        <v>0.98491972309389986</v>
      </c>
      <c r="C2" s="1">
        <f>0.0499959230203338*(1-0.7)</f>
        <v>1.4998776906100143E-2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5">
        <v>8.1500000000000002E-5</v>
      </c>
    </row>
    <row r="3" spans="1:13" x14ac:dyDescent="0.25">
      <c r="A3" s="4" t="s">
        <v>13</v>
      </c>
      <c r="B3">
        <v>0.69994292228467203</v>
      </c>
      <c r="C3">
        <v>0.20408335776900199</v>
      </c>
      <c r="D3">
        <v>8.2946736005345106E-2</v>
      </c>
      <c r="E3">
        <v>1.2945444347655001E-2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5">
        <v>8.1500000000000002E-5</v>
      </c>
    </row>
    <row r="4" spans="1:13" x14ac:dyDescent="0.25">
      <c r="A4" s="4" t="s">
        <v>13</v>
      </c>
      <c r="B4">
        <v>0.201983529002148</v>
      </c>
      <c r="C4">
        <v>2.2478166989942101E-2</v>
      </c>
      <c r="D4">
        <v>0.71566164048226499</v>
      </c>
      <c r="E4">
        <v>2.96975782740782E-2</v>
      </c>
      <c r="F4">
        <v>3.0097545658240899E-2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5">
        <v>8.1500000000000002E-5</v>
      </c>
    </row>
    <row r="5" spans="1:13" x14ac:dyDescent="0.25">
      <c r="A5" s="4" t="s">
        <v>13</v>
      </c>
      <c r="B5">
        <v>0.17098605672954101</v>
      </c>
      <c r="C5">
        <v>1.8998450747726801E-2</v>
      </c>
      <c r="D5">
        <v>0.54995515322367095</v>
      </c>
      <c r="E5">
        <v>0.25997879970573601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5">
        <v>8.1500000000000002E-5</v>
      </c>
    </row>
    <row r="6" spans="1:13" x14ac:dyDescent="0.25">
      <c r="A6" s="4" t="s">
        <v>13</v>
      </c>
      <c r="B6">
        <v>2.4997961510166901E-2</v>
      </c>
      <c r="C6">
        <v>1.6748634211811799E-2</v>
      </c>
      <c r="D6">
        <v>0</v>
      </c>
      <c r="E6">
        <v>0.59995107624400501</v>
      </c>
      <c r="F6">
        <v>0.358220788440691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5">
        <v>8.1500000000000002E-5</v>
      </c>
    </row>
    <row r="7" spans="1:13" x14ac:dyDescent="0.25">
      <c r="A7" s="4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0.54873574046707796</v>
      </c>
      <c r="H7">
        <v>0.41191762917728603</v>
      </c>
      <c r="I7">
        <v>0</v>
      </c>
      <c r="J7">
        <v>0</v>
      </c>
      <c r="K7">
        <v>0</v>
      </c>
      <c r="L7">
        <v>3.9265090762310897E-2</v>
      </c>
      <c r="M7" s="5">
        <v>8.1500000000000002E-5</v>
      </c>
    </row>
    <row r="8" spans="1:13" x14ac:dyDescent="0.25">
      <c r="A8" s="4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0.51132193998068598</v>
      </c>
      <c r="I8">
        <v>0.41053470425560401</v>
      </c>
      <c r="J8">
        <v>0</v>
      </c>
      <c r="K8">
        <v>0</v>
      </c>
      <c r="L8">
        <v>7.8061816170384699E-2</v>
      </c>
      <c r="M8" s="5">
        <v>8.1500000000000002E-5</v>
      </c>
    </row>
    <row r="9" spans="1:13" x14ac:dyDescent="0.25">
      <c r="A9" s="4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0.44044651638259402</v>
      </c>
      <c r="J9">
        <v>0.42912074881847001</v>
      </c>
      <c r="K9">
        <v>0</v>
      </c>
      <c r="L9">
        <v>0.130351195205611</v>
      </c>
      <c r="M9" s="5">
        <v>8.1500000000000002E-5</v>
      </c>
    </row>
    <row r="10" spans="1:13" x14ac:dyDescent="0.25">
      <c r="A10" s="4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0.64573218255793896</v>
      </c>
      <c r="K10">
        <v>0</v>
      </c>
      <c r="L10">
        <v>0.35418627784873602</v>
      </c>
      <c r="M10" s="5">
        <v>8.1500000000000002E-5</v>
      </c>
    </row>
    <row r="11" spans="1:13" x14ac:dyDescent="0.25">
      <c r="A11" s="4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0.99991846040667498</v>
      </c>
      <c r="L11">
        <v>0</v>
      </c>
      <c r="M11" s="5">
        <v>8.1500000000000002E-5</v>
      </c>
    </row>
    <row r="12" spans="1:13" x14ac:dyDescent="0.25">
      <c r="A12" s="4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 s="8">
        <v>0</v>
      </c>
    </row>
    <row r="13" spans="1:13" x14ac:dyDescent="0.25">
      <c r="A13" s="4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</row>
    <row r="14" spans="1:13" x14ac:dyDescent="0.25">
      <c r="A14" s="6" t="s">
        <v>14</v>
      </c>
      <c r="B14" s="1">
        <f>1-(C14+M14)</f>
        <v>0.91737785768428814</v>
      </c>
      <c r="C14" s="1">
        <f>0.274963390586571*(1-0.7)</f>
        <v>8.2489017175971305E-2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1.3312513974053099E-4</v>
      </c>
    </row>
    <row r="15" spans="1:13" x14ac:dyDescent="0.25">
      <c r="A15" s="3" t="s">
        <v>14</v>
      </c>
      <c r="B15">
        <v>0.64991346865916899</v>
      </c>
      <c r="C15">
        <v>0.25396618621450601</v>
      </c>
      <c r="D15">
        <v>8.2988950613401502E-2</v>
      </c>
      <c r="E15">
        <v>1.2998269373183401E-2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1.3312513974053099E-4</v>
      </c>
    </row>
    <row r="16" spans="1:13" x14ac:dyDescent="0.25">
      <c r="A16" s="3" t="s">
        <v>14</v>
      </c>
      <c r="B16">
        <v>0.20229306612172801</v>
      </c>
      <c r="C16">
        <v>2.2477007346858601E-2</v>
      </c>
      <c r="D16">
        <v>0.71510478890005802</v>
      </c>
      <c r="E16">
        <v>2.99960062458078E-2</v>
      </c>
      <c r="F16">
        <v>2.99960062458078E-2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1.3312513974053099E-4</v>
      </c>
    </row>
    <row r="17" spans="1:13" x14ac:dyDescent="0.25">
      <c r="A17" s="3" t="s">
        <v>14</v>
      </c>
      <c r="B17">
        <v>0.17107722228858999</v>
      </c>
      <c r="C17">
        <v>1.89974706223449E-2</v>
      </c>
      <c r="D17">
        <v>0.29996006245807799</v>
      </c>
      <c r="E17">
        <v>0.48483544761974001</v>
      </c>
      <c r="F17">
        <v>2.49966718715065E-2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1.3312513974053099E-4</v>
      </c>
    </row>
    <row r="18" spans="1:13" x14ac:dyDescent="0.25">
      <c r="A18" s="3" t="s">
        <v>14</v>
      </c>
      <c r="B18">
        <v>2.49966718715065E-2</v>
      </c>
      <c r="C18">
        <v>1.6747770153909301E-2</v>
      </c>
      <c r="D18">
        <v>0</v>
      </c>
      <c r="E18">
        <v>0.59992012491615598</v>
      </c>
      <c r="F18">
        <v>0.35820230791868801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1.3312513974053099E-4</v>
      </c>
    </row>
    <row r="19" spans="1:13" x14ac:dyDescent="0.25">
      <c r="A19" s="3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0.54870743132575195</v>
      </c>
      <c r="H19">
        <v>0.411896378448531</v>
      </c>
      <c r="I19">
        <v>0</v>
      </c>
      <c r="J19">
        <v>0</v>
      </c>
      <c r="K19">
        <v>0</v>
      </c>
      <c r="L19">
        <v>3.9263065085975997E-2</v>
      </c>
      <c r="M19">
        <v>1.3312513974053099E-4</v>
      </c>
    </row>
    <row r="20" spans="1:13" x14ac:dyDescent="0.25">
      <c r="A20" s="3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0.51129556100808704</v>
      </c>
      <c r="I20">
        <v>0.41051352487160397</v>
      </c>
      <c r="J20">
        <v>0</v>
      </c>
      <c r="K20">
        <v>0</v>
      </c>
      <c r="L20">
        <v>7.8057788980568005E-2</v>
      </c>
      <c r="M20">
        <v>1.3312513974053099E-4</v>
      </c>
    </row>
    <row r="21" spans="1:13" x14ac:dyDescent="0.25">
      <c r="A21" s="3" t="s">
        <v>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0.44042379385559399</v>
      </c>
      <c r="J21">
        <v>0.42909861058502202</v>
      </c>
      <c r="K21">
        <v>0</v>
      </c>
      <c r="L21">
        <v>0.130344470419644</v>
      </c>
      <c r="M21">
        <v>1.3312513974053099E-4</v>
      </c>
    </row>
    <row r="22" spans="1:13" x14ac:dyDescent="0.25">
      <c r="A22" s="3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0.64569886939412202</v>
      </c>
      <c r="K22">
        <v>0</v>
      </c>
      <c r="L22">
        <v>0.35416800546613803</v>
      </c>
      <c r="M22">
        <v>1.3312513974053099E-4</v>
      </c>
    </row>
    <row r="23" spans="1:13" x14ac:dyDescent="0.25">
      <c r="A23" s="3" t="s">
        <v>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0.99986687486025905</v>
      </c>
      <c r="L23">
        <v>0</v>
      </c>
      <c r="M23">
        <v>1.3312513974053099E-4</v>
      </c>
    </row>
    <row r="24" spans="1:13" x14ac:dyDescent="0.25">
      <c r="A24" s="3" t="s">
        <v>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</row>
    <row r="25" spans="1:13" x14ac:dyDescent="0.25">
      <c r="A25" s="3" t="s">
        <v>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 x14ac:dyDescent="0.25">
      <c r="A26" s="6" t="s">
        <v>15</v>
      </c>
      <c r="B26" s="1">
        <f>1-(C26+M26)</f>
        <v>0.92934306914001641</v>
      </c>
      <c r="C26" s="1">
        <f>0.234960324096723*(1-0.7)</f>
        <v>7.0488097229016902E-2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1.6883363096673599E-4</v>
      </c>
    </row>
    <row r="27" spans="1:13" x14ac:dyDescent="0.25">
      <c r="A27" s="3" t="s">
        <v>15</v>
      </c>
      <c r="B27">
        <v>0.60989701148511</v>
      </c>
      <c r="C27">
        <v>0.29405034602913299</v>
      </c>
      <c r="D27">
        <v>8.2939494659393598E-2</v>
      </c>
      <c r="E27">
        <v>1.2944314195396701E-2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1.6883363096673599E-4</v>
      </c>
    </row>
    <row r="28" spans="1:13" x14ac:dyDescent="0.25">
      <c r="A28" s="3" t="s">
        <v>15</v>
      </c>
      <c r="B28">
        <v>0.20228584157978299</v>
      </c>
      <c r="C28">
        <v>2.24762046199759E-2</v>
      </c>
      <c r="D28">
        <v>0.71527921642040604</v>
      </c>
      <c r="E28">
        <v>2.9694985641160299E-2</v>
      </c>
      <c r="F28">
        <v>3.00949181077079E-2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1.6883363096673599E-4</v>
      </c>
    </row>
    <row r="29" spans="1:13" x14ac:dyDescent="0.25">
      <c r="A29" s="3" t="s">
        <v>15</v>
      </c>
      <c r="B29">
        <v>0.17107111256574201</v>
      </c>
      <c r="C29">
        <v>1.8996792161011598E-2</v>
      </c>
      <c r="D29">
        <v>0.29994934991070998</v>
      </c>
      <c r="E29">
        <v>0.479818976740499</v>
      </c>
      <c r="F29">
        <v>2.9994934991071E-2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1.6883363096673599E-4</v>
      </c>
    </row>
    <row r="30" spans="1:13" x14ac:dyDescent="0.25">
      <c r="A30" s="3" t="s">
        <v>15</v>
      </c>
      <c r="B30">
        <v>2.4995779159225798E-2</v>
      </c>
      <c r="C30">
        <v>1.6747172036681301E-2</v>
      </c>
      <c r="D30">
        <v>0</v>
      </c>
      <c r="E30">
        <v>0.59989869982141997</v>
      </c>
      <c r="F30">
        <v>0.35818951535170601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1.6883363096673599E-4</v>
      </c>
    </row>
    <row r="31" spans="1:13" x14ac:dyDescent="0.25">
      <c r="A31" s="3" t="s">
        <v>15</v>
      </c>
      <c r="B31">
        <v>0</v>
      </c>
      <c r="C31">
        <v>0</v>
      </c>
      <c r="D31">
        <v>0</v>
      </c>
      <c r="E31">
        <v>0</v>
      </c>
      <c r="F31">
        <v>0</v>
      </c>
      <c r="G31">
        <v>0.54868783520251796</v>
      </c>
      <c r="H31">
        <v>0.41188166829202399</v>
      </c>
      <c r="I31">
        <v>0</v>
      </c>
      <c r="J31">
        <v>0</v>
      </c>
      <c r="K31">
        <v>0</v>
      </c>
      <c r="L31">
        <v>3.9261662874491302E-2</v>
      </c>
      <c r="M31">
        <v>1.6883363096673599E-4</v>
      </c>
    </row>
    <row r="32" spans="1:13" x14ac:dyDescent="0.25">
      <c r="A32" s="3" t="s">
        <v>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0.51127730098416502</v>
      </c>
      <c r="I32">
        <v>0.410498864101286</v>
      </c>
      <c r="J32">
        <v>0</v>
      </c>
      <c r="K32">
        <v>0</v>
      </c>
      <c r="L32">
        <v>7.8055001283582504E-2</v>
      </c>
      <c r="M32">
        <v>1.6883363096673599E-4</v>
      </c>
    </row>
    <row r="33" spans="1:13" x14ac:dyDescent="0.25">
      <c r="A33" s="3" t="s">
        <v>15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0.44040806489249501</v>
      </c>
      <c r="J33">
        <v>0.42908328608097401</v>
      </c>
      <c r="K33">
        <v>0</v>
      </c>
      <c r="L33">
        <v>0.130339815395565</v>
      </c>
      <c r="M33">
        <v>1.6883363096673599E-4</v>
      </c>
    </row>
    <row r="34" spans="1:13" x14ac:dyDescent="0.25">
      <c r="A34" s="3" t="s">
        <v>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0.64567580939184299</v>
      </c>
      <c r="K34">
        <v>0</v>
      </c>
      <c r="L34">
        <v>0.35415535697718997</v>
      </c>
      <c r="M34">
        <v>1.6883363096673599E-4</v>
      </c>
    </row>
    <row r="35" spans="1:13" x14ac:dyDescent="0.25">
      <c r="A35" s="3" t="s">
        <v>15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0.99983116636903302</v>
      </c>
      <c r="L35">
        <v>0</v>
      </c>
      <c r="M35">
        <v>1.6883363096673599E-4</v>
      </c>
    </row>
    <row r="36" spans="1:13" x14ac:dyDescent="0.25">
      <c r="A36" s="3" t="s">
        <v>15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</row>
    <row r="37" spans="1:13" x14ac:dyDescent="0.25">
      <c r="A37" s="3" t="s">
        <v>15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 x14ac:dyDescent="0.25">
      <c r="A38" s="6" t="s">
        <v>16</v>
      </c>
      <c r="B38" s="1">
        <f>1-(C38+M38)</f>
        <v>0.95542230968127351</v>
      </c>
      <c r="C38" s="1">
        <f>0.147972479942265*(1-0.7)</f>
        <v>4.4391743982679512E-2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1.85946336047027E-4</v>
      </c>
    </row>
    <row r="39" spans="1:13" x14ac:dyDescent="0.25">
      <c r="A39" s="3" t="s">
        <v>16</v>
      </c>
      <c r="B39">
        <v>0.60988657273501101</v>
      </c>
      <c r="C39">
        <v>0.29404531318256899</v>
      </c>
      <c r="D39">
        <v>8.2938075100612699E-2</v>
      </c>
      <c r="E39">
        <v>1.2944092645760401E-2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1.85946336047027E-4</v>
      </c>
    </row>
    <row r="40" spans="1:13" x14ac:dyDescent="0.25">
      <c r="A40" s="3" t="s">
        <v>16</v>
      </c>
      <c r="B40">
        <v>0.20228237933729101</v>
      </c>
      <c r="C40">
        <v>2.24758199263657E-2</v>
      </c>
      <c r="D40">
        <v>0.71526697399119199</v>
      </c>
      <c r="E40">
        <v>2.9694477393819401E-2</v>
      </c>
      <c r="F40">
        <v>3.0094403015285001E-2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1.85946336047027E-4</v>
      </c>
    </row>
    <row r="41" spans="1:13" x14ac:dyDescent="0.25">
      <c r="A41" s="3" t="s">
        <v>16</v>
      </c>
      <c r="B41">
        <v>0.17106818458190201</v>
      </c>
      <c r="C41">
        <v>1.8996467019615101E-2</v>
      </c>
      <c r="D41">
        <v>0.29994421609918598</v>
      </c>
      <c r="E41">
        <v>0.47081243787035498</v>
      </c>
      <c r="F41">
        <v>3.89927480928942E-2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1.85946336047027E-4</v>
      </c>
    </row>
    <row r="42" spans="1:13" x14ac:dyDescent="0.25">
      <c r="A42" s="3" t="s">
        <v>16</v>
      </c>
      <c r="B42">
        <v>2.49953513415988E-2</v>
      </c>
      <c r="C42">
        <v>1.67468853988712E-2</v>
      </c>
      <c r="D42">
        <v>0</v>
      </c>
      <c r="E42">
        <v>0.49990702683197602</v>
      </c>
      <c r="F42">
        <v>0.45056620328365998</v>
      </c>
      <c r="G42">
        <v>7.5985868078460401E-3</v>
      </c>
      <c r="H42">
        <v>0</v>
      </c>
      <c r="I42">
        <v>0</v>
      </c>
      <c r="J42">
        <v>0</v>
      </c>
      <c r="K42">
        <v>0</v>
      </c>
      <c r="L42">
        <v>0</v>
      </c>
      <c r="M42">
        <v>1.85946336047027E-4</v>
      </c>
    </row>
    <row r="43" spans="1:13" x14ac:dyDescent="0.25">
      <c r="A43" s="3" t="s">
        <v>16</v>
      </c>
      <c r="B43">
        <v>0</v>
      </c>
      <c r="C43">
        <v>0</v>
      </c>
      <c r="D43">
        <v>0</v>
      </c>
      <c r="E43">
        <v>0</v>
      </c>
      <c r="F43">
        <v>0</v>
      </c>
      <c r="G43">
        <v>0.548678444083877</v>
      </c>
      <c r="H43">
        <v>0.41187461869229702</v>
      </c>
      <c r="I43">
        <v>0</v>
      </c>
      <c r="J43">
        <v>0</v>
      </c>
      <c r="K43">
        <v>0</v>
      </c>
      <c r="L43">
        <v>3.9260990887779602E-2</v>
      </c>
      <c r="M43">
        <v>1.85946336047027E-4</v>
      </c>
    </row>
    <row r="44" spans="1:13" x14ac:dyDescent="0.25">
      <c r="A44" s="3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0.51126855016906703</v>
      </c>
      <c r="I44">
        <v>0.41049183816907497</v>
      </c>
      <c r="J44">
        <v>0</v>
      </c>
      <c r="K44">
        <v>0</v>
      </c>
      <c r="L44">
        <v>7.80536653258109E-2</v>
      </c>
      <c r="M44">
        <v>1.85946336047027E-4</v>
      </c>
    </row>
    <row r="45" spans="1:13" x14ac:dyDescent="0.25">
      <c r="A45" s="3" t="s">
        <v>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0.44040052704652399</v>
      </c>
      <c r="J45">
        <v>0.42907594206532701</v>
      </c>
      <c r="K45">
        <v>0</v>
      </c>
      <c r="L45">
        <v>0.13033758455210201</v>
      </c>
      <c r="M45">
        <v>1.85946336047027E-4</v>
      </c>
    </row>
    <row r="46" spans="1:13" x14ac:dyDescent="0.25">
      <c r="A46" s="3" t="s">
        <v>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0.64566475826633796</v>
      </c>
      <c r="K46">
        <v>0</v>
      </c>
      <c r="L46">
        <v>0.35414929539761503</v>
      </c>
      <c r="M46">
        <v>1.85946336047027E-4</v>
      </c>
    </row>
    <row r="47" spans="1:13" x14ac:dyDescent="0.25">
      <c r="A47" s="3" t="s">
        <v>16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0.99981405366395304</v>
      </c>
      <c r="L47">
        <v>0</v>
      </c>
      <c r="M47">
        <v>1.85946336047027E-4</v>
      </c>
    </row>
    <row r="48" spans="1:13" x14ac:dyDescent="0.25">
      <c r="A48" s="3" t="s">
        <v>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</row>
    <row r="49" spans="1:13" x14ac:dyDescent="0.25">
      <c r="A49" s="3" t="s">
        <v>16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</row>
    <row r="50" spans="1:13" x14ac:dyDescent="0.25">
      <c r="A50" s="6" t="s">
        <v>17</v>
      </c>
      <c r="B50" s="1">
        <f>1-(C50+M50)</f>
        <v>0.9811363188549328</v>
      </c>
      <c r="C50" s="1">
        <f>0.0619833419288831*(1-0.7)</f>
        <v>1.8595002578664931E-2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2.68678566402247E-4</v>
      </c>
    </row>
    <row r="51" spans="1:13" x14ac:dyDescent="0.25">
      <c r="A51" s="3" t="s">
        <v>17</v>
      </c>
      <c r="B51">
        <v>0.39989252857343899</v>
      </c>
      <c r="C51">
        <v>0.50396455913467697</v>
      </c>
      <c r="D51">
        <v>8.2931212172541999E-2</v>
      </c>
      <c r="E51">
        <v>1.2943021552940101E-2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2.68678566402247E-4</v>
      </c>
    </row>
    <row r="52" spans="1:13" x14ac:dyDescent="0.25">
      <c r="A52" s="3" t="s">
        <v>17</v>
      </c>
      <c r="B52">
        <v>0.20226564095244601</v>
      </c>
      <c r="C52">
        <v>2.2473960105827299E-2</v>
      </c>
      <c r="D52">
        <v>0.71520778735359603</v>
      </c>
      <c r="E52">
        <v>2.96920202465779E-2</v>
      </c>
      <c r="F52">
        <v>3.0091912775151299E-2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2.68678566402247E-4</v>
      </c>
    </row>
    <row r="53" spans="1:13" x14ac:dyDescent="0.25">
      <c r="A53" s="3" t="s">
        <v>17</v>
      </c>
      <c r="B53">
        <v>0.17105402909728901</v>
      </c>
      <c r="C53">
        <v>1.89948951072384E-2</v>
      </c>
      <c r="D53">
        <v>0.249932830358399</v>
      </c>
      <c r="E53">
        <v>0.490768105691753</v>
      </c>
      <c r="F53">
        <v>6.8981461178918194E-2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2.68678566402247E-4</v>
      </c>
    </row>
    <row r="54" spans="1:13" x14ac:dyDescent="0.25">
      <c r="A54" s="3" t="s">
        <v>17</v>
      </c>
      <c r="B54">
        <v>8.7476490625439801E-3</v>
      </c>
      <c r="C54">
        <v>1.6745499634012801E-2</v>
      </c>
      <c r="D54">
        <v>0</v>
      </c>
      <c r="E54">
        <v>0.413388901412793</v>
      </c>
      <c r="F54">
        <v>0.53785545093127596</v>
      </c>
      <c r="G54">
        <v>2.2993820392972701E-2</v>
      </c>
      <c r="H54">
        <v>0</v>
      </c>
      <c r="I54">
        <v>0</v>
      </c>
      <c r="J54">
        <v>0</v>
      </c>
      <c r="K54">
        <v>0</v>
      </c>
      <c r="L54">
        <v>0</v>
      </c>
      <c r="M54">
        <v>2.68678566402247E-4</v>
      </c>
    </row>
    <row r="55" spans="1:13" x14ac:dyDescent="0.25">
      <c r="A55" s="3" t="s">
        <v>17</v>
      </c>
      <c r="B55">
        <v>0</v>
      </c>
      <c r="C55">
        <v>0</v>
      </c>
      <c r="D55">
        <v>0</v>
      </c>
      <c r="E55">
        <v>0</v>
      </c>
      <c r="F55">
        <v>0</v>
      </c>
      <c r="G55">
        <v>0.54863304225014498</v>
      </c>
      <c r="H55">
        <v>0.411840537049109</v>
      </c>
      <c r="I55">
        <v>0</v>
      </c>
      <c r="J55">
        <v>0</v>
      </c>
      <c r="K55">
        <v>0</v>
      </c>
      <c r="L55">
        <v>3.9257742134343701E-2</v>
      </c>
      <c r="M55">
        <v>2.68678566402247E-4</v>
      </c>
    </row>
    <row r="56" spans="1:13" x14ac:dyDescent="0.25">
      <c r="A56" s="3" t="s">
        <v>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0.51122624391490801</v>
      </c>
      <c r="I56">
        <v>0.41045787094768099</v>
      </c>
      <c r="J56">
        <v>0</v>
      </c>
      <c r="K56">
        <v>0</v>
      </c>
      <c r="L56">
        <v>7.8047206571009303E-2</v>
      </c>
      <c r="M56">
        <v>2.68678566402247E-4</v>
      </c>
    </row>
    <row r="57" spans="1:13" x14ac:dyDescent="0.25">
      <c r="A57" s="3" t="s">
        <v>17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0.44036408495239798</v>
      </c>
      <c r="J57">
        <v>0.42904043705362199</v>
      </c>
      <c r="K57">
        <v>0</v>
      </c>
      <c r="L57">
        <v>0.13032679942757899</v>
      </c>
      <c r="M57">
        <v>2.68678566402247E-4</v>
      </c>
    </row>
    <row r="58" spans="1:13" x14ac:dyDescent="0.25">
      <c r="A58" s="3" t="s">
        <v>17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0.64561133104622903</v>
      </c>
      <c r="K58">
        <v>0</v>
      </c>
      <c r="L58">
        <v>0.35411999038736902</v>
      </c>
      <c r="M58">
        <v>2.68678566402247E-4</v>
      </c>
    </row>
    <row r="59" spans="1:13" x14ac:dyDescent="0.25">
      <c r="A59" s="3" t="s">
        <v>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0.999731321433598</v>
      </c>
      <c r="L59">
        <v>0</v>
      </c>
      <c r="M59">
        <v>2.68678566402247E-4</v>
      </c>
    </row>
    <row r="60" spans="1:13" x14ac:dyDescent="0.25">
      <c r="A60" s="3" t="s">
        <v>17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</row>
    <row r="61" spans="1:13" x14ac:dyDescent="0.25">
      <c r="A61" s="3" t="s">
        <v>17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 spans="1:13" x14ac:dyDescent="0.25">
      <c r="A62" s="6" t="s">
        <v>18</v>
      </c>
      <c r="B62" s="1">
        <f>1-(C62+M62)</f>
        <v>0.98956595970233197</v>
      </c>
      <c r="C62" s="1">
        <f>0.0332850642499446*(1-0.7)</f>
        <v>9.9855192749833815E-3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4.4852102268462199E-4</v>
      </c>
    </row>
    <row r="63" spans="1:13" x14ac:dyDescent="0.25">
      <c r="A63" s="3" t="s">
        <v>18</v>
      </c>
      <c r="B63">
        <v>0.41281476081763102</v>
      </c>
      <c r="C63">
        <v>0.49087973132576002</v>
      </c>
      <c r="D63">
        <v>8.2916293611344699E-2</v>
      </c>
      <c r="E63">
        <v>1.29406932225798E-2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4.4852102268462199E-4</v>
      </c>
    </row>
    <row r="64" spans="1:13" x14ac:dyDescent="0.25">
      <c r="A64" s="3" t="s">
        <v>18</v>
      </c>
      <c r="B64">
        <v>0.101154609672504</v>
      </c>
      <c r="C64">
        <v>1.11949765645459E-2</v>
      </c>
      <c r="D64">
        <v>0.70868199859491698</v>
      </c>
      <c r="E64">
        <v>0.14843339462813099</v>
      </c>
      <c r="F64">
        <v>3.0086499517217199E-2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4.4852102268462199E-4</v>
      </c>
    </row>
    <row r="65" spans="1:13" x14ac:dyDescent="0.25">
      <c r="A65" s="3" t="s">
        <v>18</v>
      </c>
      <c r="B65">
        <v>0.17102325805301899</v>
      </c>
      <c r="C65">
        <v>1.8991478100569E-2</v>
      </c>
      <c r="D65">
        <v>0.29986544369319501</v>
      </c>
      <c r="E65">
        <v>0.45669507074473498</v>
      </c>
      <c r="F65">
        <v>5.29762283857977E-2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4.4852102268462199E-4</v>
      </c>
    </row>
    <row r="66" spans="1:13" x14ac:dyDescent="0.25">
      <c r="A66" s="3" t="s">
        <v>18</v>
      </c>
      <c r="B66">
        <v>8.7460754410515103E-3</v>
      </c>
      <c r="C66">
        <v>1.6742487272870001E-2</v>
      </c>
      <c r="D66">
        <v>0</v>
      </c>
      <c r="E66">
        <v>0.34984301764205999</v>
      </c>
      <c r="F66">
        <v>0.56924456727758099</v>
      </c>
      <c r="G66">
        <v>5.49753313437523E-2</v>
      </c>
      <c r="H66">
        <v>0</v>
      </c>
      <c r="I66">
        <v>0</v>
      </c>
      <c r="J66">
        <v>0</v>
      </c>
      <c r="K66">
        <v>0</v>
      </c>
      <c r="L66">
        <v>0</v>
      </c>
      <c r="M66">
        <v>4.4852102268462199E-4</v>
      </c>
    </row>
    <row r="67" spans="1:13" x14ac:dyDescent="0.25">
      <c r="A67" s="3" t="s">
        <v>18</v>
      </c>
      <c r="B67">
        <v>0</v>
      </c>
      <c r="C67">
        <v>0</v>
      </c>
      <c r="D67">
        <v>0</v>
      </c>
      <c r="E67">
        <v>0</v>
      </c>
      <c r="F67">
        <v>0</v>
      </c>
      <c r="G67">
        <v>0.54853434821925895</v>
      </c>
      <c r="H67">
        <v>0.41176645072992302</v>
      </c>
      <c r="I67">
        <v>0</v>
      </c>
      <c r="J67">
        <v>0</v>
      </c>
      <c r="K67">
        <v>0</v>
      </c>
      <c r="L67">
        <v>3.9250680028133603E-2</v>
      </c>
      <c r="M67">
        <v>4.4852102268462199E-4</v>
      </c>
    </row>
    <row r="68" spans="1:13" x14ac:dyDescent="0.25">
      <c r="A68" s="3" t="s">
        <v>18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0.51113427902249098</v>
      </c>
      <c r="I68">
        <v>0.41038403335739099</v>
      </c>
      <c r="J68">
        <v>0</v>
      </c>
      <c r="K68">
        <v>0</v>
      </c>
      <c r="L68">
        <v>7.8033166597433604E-2</v>
      </c>
      <c r="M68">
        <v>4.4852102268462199E-4</v>
      </c>
    </row>
    <row r="69" spans="1:13" x14ac:dyDescent="0.25">
      <c r="A69" s="3" t="s">
        <v>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0.440284867509672</v>
      </c>
      <c r="J69">
        <v>0.428963256630852</v>
      </c>
      <c r="K69">
        <v>0</v>
      </c>
      <c r="L69">
        <v>0.13030335483679101</v>
      </c>
      <c r="M69">
        <v>4.4852102268462199E-4</v>
      </c>
    </row>
    <row r="70" spans="1:13" x14ac:dyDescent="0.25">
      <c r="A70" s="3" t="s">
        <v>18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0.64549519151444701</v>
      </c>
      <c r="K70">
        <v>0</v>
      </c>
      <c r="L70">
        <v>0.35405628746286799</v>
      </c>
      <c r="M70">
        <v>4.4852102268462199E-4</v>
      </c>
    </row>
    <row r="71" spans="1:13" x14ac:dyDescent="0.25">
      <c r="A71" s="3" t="s">
        <v>18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0.999551478977315</v>
      </c>
      <c r="L71">
        <v>0</v>
      </c>
      <c r="M71">
        <v>4.4852102268462199E-4</v>
      </c>
    </row>
    <row r="72" spans="1:13" x14ac:dyDescent="0.25">
      <c r="A72" s="3" t="s">
        <v>18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</row>
    <row r="73" spans="1:13" x14ac:dyDescent="0.25">
      <c r="A73" s="3" t="s">
        <v>18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</row>
    <row r="74" spans="1:13" x14ac:dyDescent="0.25">
      <c r="A74" s="6" t="s">
        <v>19</v>
      </c>
      <c r="B74" s="1">
        <f>1-(C74+M74)</f>
        <v>0.98719605927789078</v>
      </c>
      <c r="C74" s="1">
        <f>0.0399674517926272*(1-0.7)</f>
        <v>1.1990235537788161E-2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8.1370518432104602E-4</v>
      </c>
    </row>
    <row r="75" spans="1:13" x14ac:dyDescent="0.25">
      <c r="A75" s="3" t="s">
        <v>19</v>
      </c>
      <c r="B75">
        <v>0.412663939758875</v>
      </c>
      <c r="C75">
        <v>0.49070038938397997</v>
      </c>
      <c r="D75">
        <v>8.2886000306992405E-2</v>
      </c>
      <c r="E75">
        <v>1.2935965365831199E-2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8.1370518432104602E-4</v>
      </c>
    </row>
    <row r="76" spans="1:13" x14ac:dyDescent="0.25">
      <c r="A76" s="3" t="s">
        <v>19</v>
      </c>
      <c r="B76">
        <v>0.101117653035347</v>
      </c>
      <c r="C76">
        <v>1.11908865019356E-2</v>
      </c>
      <c r="D76">
        <v>0.708423083024316</v>
      </c>
      <c r="E76">
        <v>0.148379164780128</v>
      </c>
      <c r="F76">
        <v>3.00755074739519E-2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8.1370518432104602E-4</v>
      </c>
    </row>
    <row r="77" spans="1:13" x14ac:dyDescent="0.25">
      <c r="A77" s="3" t="s">
        <v>19</v>
      </c>
      <c r="B77">
        <v>0.170960775042963</v>
      </c>
      <c r="C77">
        <v>1.8984539601497898E-2</v>
      </c>
      <c r="D77">
        <v>0.29975588844470402</v>
      </c>
      <c r="E77">
        <v>0.47551275770278201</v>
      </c>
      <c r="F77">
        <v>3.3972334023733099E-2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8.1370518432104602E-4</v>
      </c>
    </row>
    <row r="78" spans="1:13" x14ac:dyDescent="0.25">
      <c r="A78" s="3" t="s">
        <v>19</v>
      </c>
      <c r="B78">
        <v>8.7428800796371907E-3</v>
      </c>
      <c r="C78">
        <v>1.67363704381626E-2</v>
      </c>
      <c r="D78">
        <v>0</v>
      </c>
      <c r="E78">
        <v>0.34971520318548799</v>
      </c>
      <c r="F78">
        <v>0.54405693752713702</v>
      </c>
      <c r="G78">
        <v>7.9934903585254305E-2</v>
      </c>
      <c r="H78">
        <v>0</v>
      </c>
      <c r="I78">
        <v>0</v>
      </c>
      <c r="J78">
        <v>0</v>
      </c>
      <c r="K78">
        <v>0</v>
      </c>
      <c r="L78">
        <v>0</v>
      </c>
      <c r="M78">
        <v>8.1370518432104602E-4</v>
      </c>
    </row>
    <row r="79" spans="1:13" x14ac:dyDescent="0.25">
      <c r="A79" s="3" t="s">
        <v>19</v>
      </c>
      <c r="B79">
        <v>0</v>
      </c>
      <c r="C79">
        <v>0</v>
      </c>
      <c r="D79">
        <v>0</v>
      </c>
      <c r="E79">
        <v>0</v>
      </c>
      <c r="F79">
        <v>0</v>
      </c>
      <c r="G79">
        <v>0.54833394227689702</v>
      </c>
      <c r="H79">
        <v>0.41161601266919101</v>
      </c>
      <c r="I79">
        <v>0</v>
      </c>
      <c r="J79">
        <v>0</v>
      </c>
      <c r="K79">
        <v>0</v>
      </c>
      <c r="L79">
        <v>3.9236339869591297E-2</v>
      </c>
      <c r="M79">
        <v>8.1370518432104602E-4</v>
      </c>
    </row>
    <row r="80" spans="1:13" x14ac:dyDescent="0.25">
      <c r="A80" s="3" t="s">
        <v>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0.51094753712165397</v>
      </c>
      <c r="I80">
        <v>0.41023410036011898</v>
      </c>
      <c r="J80">
        <v>0</v>
      </c>
      <c r="K80">
        <v>0</v>
      </c>
      <c r="L80">
        <v>7.8004657333905797E-2</v>
      </c>
      <c r="M80">
        <v>8.1370518432104602E-4</v>
      </c>
    </row>
    <row r="81" spans="1:13" x14ac:dyDescent="0.25">
      <c r="A81" s="3" t="s">
        <v>19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0.44012401030161002</v>
      </c>
      <c r="J81">
        <v>0.42880653575099698</v>
      </c>
      <c r="K81">
        <v>0</v>
      </c>
      <c r="L81">
        <v>0.130255748763072</v>
      </c>
      <c r="M81">
        <v>8.1370518432104602E-4</v>
      </c>
    </row>
    <row r="82" spans="1:13" x14ac:dyDescent="0.25">
      <c r="A82" s="3" t="s">
        <v>19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0.64525936111920301</v>
      </c>
      <c r="K82">
        <v>0</v>
      </c>
      <c r="L82">
        <v>0.35392693369647599</v>
      </c>
      <c r="M82">
        <v>8.1370518432104602E-4</v>
      </c>
    </row>
    <row r="83" spans="1:13" x14ac:dyDescent="0.25">
      <c r="A83" s="3" t="s">
        <v>19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0.999186294815679</v>
      </c>
      <c r="L83">
        <v>0</v>
      </c>
      <c r="M83">
        <v>8.1370518432104602E-4</v>
      </c>
    </row>
    <row r="84" spans="1:13" x14ac:dyDescent="0.25">
      <c r="A84" s="3" t="s">
        <v>19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</row>
    <row r="85" spans="1:13" x14ac:dyDescent="0.25">
      <c r="A85" s="3" t="s">
        <v>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</row>
    <row r="86" spans="1:13" x14ac:dyDescent="0.25">
      <c r="A86" s="6" t="s">
        <v>20</v>
      </c>
      <c r="B86" s="1">
        <f>1-(C86+M86)</f>
        <v>0.99180398184557828</v>
      </c>
      <c r="C86" s="1">
        <f>0.0229699844753281*(1-0.7)</f>
        <v>6.890995342598431E-3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1.30502281182325E-3</v>
      </c>
    </row>
    <row r="87" spans="1:13" x14ac:dyDescent="0.25">
      <c r="A87" s="3" t="s">
        <v>20</v>
      </c>
      <c r="B87">
        <v>0.412461025578717</v>
      </c>
      <c r="C87">
        <v>0.49045910329711401</v>
      </c>
      <c r="D87">
        <v>8.2845243790179393E-2</v>
      </c>
      <c r="E87">
        <v>1.29296045221667E-2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1.30502281182325E-3</v>
      </c>
    </row>
    <row r="88" spans="1:13" x14ac:dyDescent="0.25">
      <c r="A88" s="3" t="s">
        <v>20</v>
      </c>
      <c r="B88">
        <v>0.101067931691443</v>
      </c>
      <c r="C88">
        <v>1.11853837445076E-2</v>
      </c>
      <c r="D88">
        <v>0.70807473882641703</v>
      </c>
      <c r="E88">
        <v>0.148306204112444</v>
      </c>
      <c r="F88">
        <v>3.0060718813364098E-2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1.30502281182325E-3</v>
      </c>
    </row>
    <row r="89" spans="1:13" x14ac:dyDescent="0.25">
      <c r="A89" s="3" t="s">
        <v>20</v>
      </c>
      <c r="B89">
        <v>0.17087671059689699</v>
      </c>
      <c r="C89">
        <v>1.89752045665754E-2</v>
      </c>
      <c r="D89">
        <v>0.24268287945672701</v>
      </c>
      <c r="E89">
        <v>0.54119280813827297</v>
      </c>
      <c r="F89">
        <v>2.4967374429704401E-2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1.30502281182325E-3</v>
      </c>
    </row>
    <row r="90" spans="1:13" x14ac:dyDescent="0.25">
      <c r="A90" s="3" t="s">
        <v>20</v>
      </c>
      <c r="B90">
        <v>5.4928223745349704E-3</v>
      </c>
      <c r="C90">
        <v>5.4928223745349704E-3</v>
      </c>
      <c r="D90">
        <v>0</v>
      </c>
      <c r="E90">
        <v>0.34954324201586201</v>
      </c>
      <c r="F90">
        <v>0.516325303206287</v>
      </c>
      <c r="G90">
        <v>0.121840787216958</v>
      </c>
      <c r="H90">
        <v>0</v>
      </c>
      <c r="I90">
        <v>0</v>
      </c>
      <c r="J90">
        <v>0</v>
      </c>
      <c r="K90">
        <v>0</v>
      </c>
      <c r="L90">
        <v>0</v>
      </c>
      <c r="M90">
        <v>1.30502281182325E-3</v>
      </c>
    </row>
    <row r="91" spans="1:13" x14ac:dyDescent="0.25">
      <c r="A91" s="3" t="s">
        <v>20</v>
      </c>
      <c r="B91">
        <v>0</v>
      </c>
      <c r="C91">
        <v>0</v>
      </c>
      <c r="D91">
        <v>0</v>
      </c>
      <c r="E91">
        <v>0</v>
      </c>
      <c r="F91">
        <v>0</v>
      </c>
      <c r="G91">
        <v>0.54806431674960898</v>
      </c>
      <c r="H91">
        <v>0.41141361377337299</v>
      </c>
      <c r="I91">
        <v>0</v>
      </c>
      <c r="J91">
        <v>0</v>
      </c>
      <c r="K91">
        <v>0</v>
      </c>
      <c r="L91">
        <v>3.9217046665194301E-2</v>
      </c>
      <c r="M91">
        <v>1.30502281182325E-3</v>
      </c>
    </row>
    <row r="92" spans="1:13" x14ac:dyDescent="0.25">
      <c r="A92" s="3" t="s">
        <v>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0.51069629515304504</v>
      </c>
      <c r="I92">
        <v>0.41003238097509997</v>
      </c>
      <c r="J92">
        <v>0</v>
      </c>
      <c r="K92">
        <v>0</v>
      </c>
      <c r="L92">
        <v>7.7966301060031495E-2</v>
      </c>
      <c r="M92">
        <v>1.30502281182325E-3</v>
      </c>
    </row>
    <row r="93" spans="1:13" x14ac:dyDescent="0.25">
      <c r="A93" s="3" t="s">
        <v>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0.439907593517603</v>
      </c>
      <c r="J93">
        <v>0.42859568397000702</v>
      </c>
      <c r="K93">
        <v>0</v>
      </c>
      <c r="L93">
        <v>0.13019169970056699</v>
      </c>
      <c r="M93">
        <v>1.30502281182325E-3</v>
      </c>
    </row>
    <row r="94" spans="1:13" x14ac:dyDescent="0.25">
      <c r="A94" s="3" t="s">
        <v>20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0.55397704381827695</v>
      </c>
      <c r="K94">
        <v>0</v>
      </c>
      <c r="L94">
        <v>0.44471793336990001</v>
      </c>
      <c r="M94">
        <v>1.30502281182325E-3</v>
      </c>
    </row>
    <row r="95" spans="1:13" x14ac:dyDescent="0.25">
      <c r="A95" s="3" t="s">
        <v>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0.99869497718817701</v>
      </c>
      <c r="L95">
        <v>0</v>
      </c>
      <c r="M95">
        <v>1.30502281182325E-3</v>
      </c>
    </row>
    <row r="96" spans="1:13" x14ac:dyDescent="0.25">
      <c r="A96" s="3" t="s">
        <v>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 x14ac:dyDescent="0.25">
      <c r="A97" s="3" t="s">
        <v>20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</row>
    <row r="98" spans="1:13" x14ac:dyDescent="0.25">
      <c r="A98" s="6" t="s">
        <v>21</v>
      </c>
      <c r="B98" s="1">
        <f>1-(C98+M98)</f>
        <v>0.9842324287623887</v>
      </c>
      <c r="C98" s="1">
        <f>0.0459082252312613*(1-0.7)</f>
        <v>1.3772467569378392E-2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1.9951036682329501E-3</v>
      </c>
    </row>
    <row r="99" spans="1:13" x14ac:dyDescent="0.25">
      <c r="A99" s="3" t="s">
        <v>21</v>
      </c>
      <c r="B99">
        <v>0.41217602218501997</v>
      </c>
      <c r="C99">
        <v>0.49012020458853101</v>
      </c>
      <c r="D99">
        <v>8.2787999167857201E-2</v>
      </c>
      <c r="E99">
        <v>1.29206703903592E-2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1.9951036682329501E-3</v>
      </c>
    </row>
    <row r="100" spans="1:13" x14ac:dyDescent="0.25">
      <c r="A100" s="3" t="s">
        <v>21</v>
      </c>
      <c r="B100">
        <v>0.100998095508775</v>
      </c>
      <c r="C100">
        <v>1.11776548389158E-2</v>
      </c>
      <c r="D100">
        <v>0.70758547149922302</v>
      </c>
      <c r="E100">
        <v>0.148203727105267</v>
      </c>
      <c r="F100">
        <v>3.00399473795862E-2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1.9951036682329501E-3</v>
      </c>
    </row>
    <row r="101" spans="1:13" x14ac:dyDescent="0.25">
      <c r="A101" s="3" t="s">
        <v>21</v>
      </c>
      <c r="B101">
        <v>0.170758637762365</v>
      </c>
      <c r="C101">
        <v>1.8962093030303599E-2</v>
      </c>
      <c r="D101">
        <v>0.34930171371611801</v>
      </c>
      <c r="E101">
        <v>0.451597215590125</v>
      </c>
      <c r="F101">
        <v>7.3852362328550797E-3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1.9951036682329501E-3</v>
      </c>
    </row>
    <row r="102" spans="1:13" x14ac:dyDescent="0.25">
      <c r="A102" s="3" t="s">
        <v>21</v>
      </c>
      <c r="B102">
        <v>4.9900244816588396E-3</v>
      </c>
      <c r="C102">
        <v>4.9900244816588396E-3</v>
      </c>
      <c r="D102">
        <v>0</v>
      </c>
      <c r="E102">
        <v>0.34930171371611801</v>
      </c>
      <c r="F102">
        <v>0.47255531841309201</v>
      </c>
      <c r="G102">
        <v>0.16616781523923899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1.9951036682329501E-3</v>
      </c>
    </row>
    <row r="103" spans="1:13" x14ac:dyDescent="0.25">
      <c r="A103" s="3" t="s">
        <v>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0.54768561384060399</v>
      </c>
      <c r="H103">
        <v>0.411129334123013</v>
      </c>
      <c r="I103">
        <v>0</v>
      </c>
      <c r="J103">
        <v>0</v>
      </c>
      <c r="K103">
        <v>0</v>
      </c>
      <c r="L103">
        <v>3.9189948368149902E-2</v>
      </c>
      <c r="M103">
        <v>1.9951036682329501E-3</v>
      </c>
    </row>
    <row r="104" spans="1:13" x14ac:dyDescent="0.25">
      <c r="A104" s="3" t="s">
        <v>21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0.51034341289692597</v>
      </c>
      <c r="I104">
        <v>0.40974905573257703</v>
      </c>
      <c r="J104">
        <v>0</v>
      </c>
      <c r="K104">
        <v>0</v>
      </c>
      <c r="L104">
        <v>7.79124277022641E-2</v>
      </c>
      <c r="M104">
        <v>1.9951036682329501E-3</v>
      </c>
    </row>
    <row r="105" spans="1:13" x14ac:dyDescent="0.25">
      <c r="A105" s="3" t="s">
        <v>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0.43960362502290701</v>
      </c>
      <c r="J105">
        <v>0.42829953180803298</v>
      </c>
      <c r="K105">
        <v>0</v>
      </c>
      <c r="L105">
        <v>0.13010173950082701</v>
      </c>
      <c r="M105">
        <v>1.9951036682329501E-3</v>
      </c>
    </row>
    <row r="106" spans="1:13" x14ac:dyDescent="0.25">
      <c r="A106" s="3" t="s">
        <v>21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0.55359425531772299</v>
      </c>
      <c r="K106">
        <v>0</v>
      </c>
      <c r="L106">
        <v>0.44441064101404498</v>
      </c>
      <c r="M106">
        <v>1.9951036682329501E-3</v>
      </c>
    </row>
    <row r="107" spans="1:13" x14ac:dyDescent="0.25">
      <c r="A107" s="3" t="s">
        <v>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0.99800489633176703</v>
      </c>
      <c r="L107">
        <v>0</v>
      </c>
      <c r="M107">
        <v>1.9951036682329501E-3</v>
      </c>
    </row>
    <row r="108" spans="1:13" x14ac:dyDescent="0.25">
      <c r="A108" s="3" t="s">
        <v>21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</row>
    <row r="109" spans="1:13" x14ac:dyDescent="0.25">
      <c r="A109" s="3" t="s">
        <v>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</row>
    <row r="110" spans="1:13" x14ac:dyDescent="0.25">
      <c r="A110" s="6" t="s">
        <v>22</v>
      </c>
      <c r="B110" s="1">
        <f>1-(C110+M110)</f>
        <v>0.99233828449744932</v>
      </c>
      <c r="C110" s="1">
        <f>0.0159539917121776*(1-0.7)</f>
        <v>4.7861975136532803E-3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2.8755179888974502E-3</v>
      </c>
    </row>
    <row r="111" spans="1:13" x14ac:dyDescent="0.25">
      <c r="A111" s="3" t="s">
        <v>22</v>
      </c>
      <c r="B111">
        <v>0.41181241107058503</v>
      </c>
      <c r="C111">
        <v>0.489687833115652</v>
      </c>
      <c r="D111">
        <v>8.2714965718508004E-2</v>
      </c>
      <c r="E111">
        <v>1.2909272106356701E-2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2.8755179888974502E-3</v>
      </c>
    </row>
    <row r="112" spans="1:13" x14ac:dyDescent="0.25">
      <c r="A112" s="3" t="s">
        <v>22</v>
      </c>
      <c r="B112">
        <v>0.100908997579524</v>
      </c>
      <c r="C112">
        <v>1.1167794198524299E-2</v>
      </c>
      <c r="D112">
        <v>0.72540806066307695</v>
      </c>
      <c r="E112">
        <v>0.12962618266144299</v>
      </c>
      <c r="F112">
        <v>3.0013446908534198E-2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2.8755179888974502E-3</v>
      </c>
    </row>
    <row r="113" spans="1:13" x14ac:dyDescent="0.25">
      <c r="A113" s="3" t="s">
        <v>22</v>
      </c>
      <c r="B113">
        <v>0.17060799887209999</v>
      </c>
      <c r="C113">
        <v>1.8945365158210999E-2</v>
      </c>
      <c r="D113">
        <v>0.34899356870388598</v>
      </c>
      <c r="E113">
        <v>0.449603428938806</v>
      </c>
      <c r="F113">
        <v>8.9741203380999199E-3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2.8755179888974502E-3</v>
      </c>
    </row>
    <row r="114" spans="1:13" x14ac:dyDescent="0.25">
      <c r="A114" s="3" t="s">
        <v>22</v>
      </c>
      <c r="B114">
        <v>4.9856224100555098E-3</v>
      </c>
      <c r="C114">
        <v>4.9856224100555098E-3</v>
      </c>
      <c r="D114">
        <v>0</v>
      </c>
      <c r="E114">
        <v>0.34899356870388598</v>
      </c>
      <c r="F114">
        <v>0.49357661859549601</v>
      </c>
      <c r="G114">
        <v>0.14458304989161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2.8755179888974502E-3</v>
      </c>
    </row>
    <row r="115" spans="1:13" x14ac:dyDescent="0.25">
      <c r="A115" s="3" t="s">
        <v>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0.54720245964023895</v>
      </c>
      <c r="H115">
        <v>0.41076664636993998</v>
      </c>
      <c r="I115">
        <v>0</v>
      </c>
      <c r="J115">
        <v>0</v>
      </c>
      <c r="K115">
        <v>0</v>
      </c>
      <c r="L115">
        <v>3.9155376000923801E-2</v>
      </c>
      <c r="M115">
        <v>2.8755179888974502E-3</v>
      </c>
    </row>
    <row r="116" spans="1:13" x14ac:dyDescent="0.25">
      <c r="A116" s="3" t="s">
        <v>22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0.50989320102840496</v>
      </c>
      <c r="I116">
        <v>0.40938758562569499</v>
      </c>
      <c r="J116">
        <v>0</v>
      </c>
      <c r="K116">
        <v>0</v>
      </c>
      <c r="L116">
        <v>7.7843695357003098E-2</v>
      </c>
      <c r="M116">
        <v>2.8755179888974502E-3</v>
      </c>
    </row>
    <row r="117" spans="1:13" x14ac:dyDescent="0.25">
      <c r="A117" s="3" t="s">
        <v>22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0.43921581798076897</v>
      </c>
      <c r="J117">
        <v>0.42792169694697801</v>
      </c>
      <c r="K117">
        <v>0</v>
      </c>
      <c r="L117">
        <v>0.129986967083356</v>
      </c>
      <c r="M117">
        <v>2.8755179888974502E-3</v>
      </c>
    </row>
    <row r="118" spans="1:13" x14ac:dyDescent="0.25">
      <c r="A118" s="3" t="s">
        <v>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0.553105888665404</v>
      </c>
      <c r="K118">
        <v>0</v>
      </c>
      <c r="L118">
        <v>0.44401859334569899</v>
      </c>
      <c r="M118">
        <v>2.8755179888974502E-3</v>
      </c>
    </row>
    <row r="119" spans="1:13" x14ac:dyDescent="0.25">
      <c r="A119" s="3" t="s">
        <v>22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0.99712448201110304</v>
      </c>
      <c r="L119">
        <v>0</v>
      </c>
      <c r="M119">
        <v>2.8755179888974502E-3</v>
      </c>
    </row>
    <row r="120" spans="1:13" x14ac:dyDescent="0.25">
      <c r="A120" s="3" t="s">
        <v>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</row>
    <row r="121" spans="1:13" x14ac:dyDescent="0.25">
      <c r="A121" s="3" t="s">
        <v>22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</row>
    <row r="122" spans="1:13" x14ac:dyDescent="0.25">
      <c r="A122" s="6" t="s">
        <v>23</v>
      </c>
      <c r="B122" s="1">
        <f>1-(C122+M122)</f>
        <v>0.99072346364218455</v>
      </c>
      <c r="C122" s="1">
        <f>0.0179298435004618*(1-0.7)</f>
        <v>5.3789530501385414E-3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3.8975833076769499E-3</v>
      </c>
    </row>
    <row r="123" spans="1:13" x14ac:dyDescent="0.25">
      <c r="A123" s="3" t="s">
        <v>23</v>
      </c>
      <c r="B123">
        <v>0.41139029809392902</v>
      </c>
      <c r="C123">
        <v>0.4891858968376</v>
      </c>
      <c r="D123">
        <v>8.2630181823086596E-2</v>
      </c>
      <c r="E123">
        <v>1.28960399377072E-2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3.8975833076769499E-3</v>
      </c>
    </row>
    <row r="124" spans="1:13" x14ac:dyDescent="0.25">
      <c r="A124" s="3" t="s">
        <v>23</v>
      </c>
      <c r="B124">
        <v>0.100805564569263</v>
      </c>
      <c r="C124">
        <v>1.1156347066954E-2</v>
      </c>
      <c r="D124">
        <v>0.73462553231058803</v>
      </c>
      <c r="E124">
        <v>0.11953229000307899</v>
      </c>
      <c r="F124">
        <v>2.9982682742438899E-2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3.8975833076769499E-3</v>
      </c>
    </row>
    <row r="125" spans="1:13" x14ac:dyDescent="0.25">
      <c r="A125" s="3" t="s">
        <v>23</v>
      </c>
      <c r="B125">
        <v>0.17043312349605599</v>
      </c>
      <c r="C125">
        <v>1.8925945917154099E-2</v>
      </c>
      <c r="D125">
        <v>0.348635845842313</v>
      </c>
      <c r="E125">
        <v>0.44884374896156098</v>
      </c>
      <c r="F125">
        <v>9.2637524752386003E-3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3.8975833076769499E-3</v>
      </c>
    </row>
    <row r="126" spans="1:13" x14ac:dyDescent="0.25">
      <c r="A126" s="3" t="s">
        <v>23</v>
      </c>
      <c r="B126">
        <v>4.9805120834616199E-3</v>
      </c>
      <c r="C126">
        <v>4.9805120834616199E-3</v>
      </c>
      <c r="D126">
        <v>0</v>
      </c>
      <c r="E126">
        <v>0.348635845842313</v>
      </c>
      <c r="F126">
        <v>0.50303172042962296</v>
      </c>
      <c r="G126">
        <v>0.13447382625346399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3.8975833076769499E-3</v>
      </c>
    </row>
    <row r="127" spans="1:13" x14ac:dyDescent="0.25">
      <c r="A127" s="3" t="s">
        <v>23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0.54664157013603099</v>
      </c>
      <c r="H127">
        <v>0.410345605315447</v>
      </c>
      <c r="I127">
        <v>0</v>
      </c>
      <c r="J127">
        <v>0</v>
      </c>
      <c r="K127">
        <v>0</v>
      </c>
      <c r="L127">
        <v>3.9115241240844902E-2</v>
      </c>
      <c r="M127">
        <v>3.8975833076769499E-3</v>
      </c>
    </row>
    <row r="128" spans="1:13" x14ac:dyDescent="0.25">
      <c r="A128" s="3" t="s">
        <v>23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0.50937055399039199</v>
      </c>
      <c r="I128">
        <v>0.40896795812606401</v>
      </c>
      <c r="J128">
        <v>0</v>
      </c>
      <c r="K128">
        <v>0</v>
      </c>
      <c r="L128">
        <v>7.7763904575866599E-2</v>
      </c>
      <c r="M128">
        <v>3.8975833076769499E-3</v>
      </c>
    </row>
    <row r="129" spans="1:13" x14ac:dyDescent="0.25">
      <c r="A129" s="3" t="s">
        <v>23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0.43876561616232401</v>
      </c>
      <c r="J129">
        <v>0.42748307174672101</v>
      </c>
      <c r="K129">
        <v>0</v>
      </c>
      <c r="L129">
        <v>0.129853728783278</v>
      </c>
      <c r="M129">
        <v>3.8975833076769499E-3</v>
      </c>
    </row>
    <row r="130" spans="1:13" x14ac:dyDescent="0.25">
      <c r="A130" s="3" t="s">
        <v>23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0.55253894807110804</v>
      </c>
      <c r="K130">
        <v>0</v>
      </c>
      <c r="L130">
        <v>0.44356346862121498</v>
      </c>
      <c r="M130">
        <v>3.8975833076769499E-3</v>
      </c>
    </row>
    <row r="131" spans="1:13" x14ac:dyDescent="0.25">
      <c r="A131" s="3" t="s">
        <v>23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0.99610241669232302</v>
      </c>
      <c r="L131">
        <v>0</v>
      </c>
      <c r="M131">
        <v>3.8975833076769499E-3</v>
      </c>
    </row>
    <row r="132" spans="1:13" x14ac:dyDescent="0.25">
      <c r="A132" s="3" t="s">
        <v>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</row>
    <row r="133" spans="1:13" x14ac:dyDescent="0.25">
      <c r="A133" s="3" t="s">
        <v>23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</row>
    <row r="134" spans="1:13" x14ac:dyDescent="0.25">
      <c r="A134" s="6" t="s">
        <v>24</v>
      </c>
      <c r="B134" s="1">
        <f>1-(C134+M134)</f>
        <v>0.98913995298417701</v>
      </c>
      <c r="C134" s="1">
        <f>0.0159025715913855*(1-0.7)</f>
        <v>4.7707714774156505E-3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6.0892755384073403E-3</v>
      </c>
    </row>
    <row r="135" spans="1:13" x14ac:dyDescent="0.25">
      <c r="A135" s="3" t="s">
        <v>24</v>
      </c>
      <c r="B135">
        <v>0.41048512920263802</v>
      </c>
      <c r="C135">
        <v>0.48810955678308798</v>
      </c>
      <c r="D135">
        <v>8.2448373281624701E-2</v>
      </c>
      <c r="E135">
        <v>1.2867665194242E-2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6.0892755384073403E-3</v>
      </c>
    </row>
    <row r="136" spans="1:13" x14ac:dyDescent="0.25">
      <c r="A136" s="3" t="s">
        <v>24</v>
      </c>
      <c r="B136">
        <v>0.100583765315513</v>
      </c>
      <c r="C136">
        <v>1.11318001139698E-2</v>
      </c>
      <c r="D136">
        <v>0.73300915929042498</v>
      </c>
      <c r="E136">
        <v>0.119269286935391</v>
      </c>
      <c r="F136">
        <v>2.9916712806293901E-2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6.0892755384073403E-3</v>
      </c>
    </row>
    <row r="137" spans="1:13" x14ac:dyDescent="0.25">
      <c r="A137" s="3" t="s">
        <v>24</v>
      </c>
      <c r="B137">
        <v>0.170058124955379</v>
      </c>
      <c r="C137">
        <v>1.8884303764770301E-2</v>
      </c>
      <c r="D137">
        <v>0.347868753561557</v>
      </c>
      <c r="E137">
        <v>0.44616652421080899</v>
      </c>
      <c r="F137">
        <v>1.09330179690775E-2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6.0892755384073403E-3</v>
      </c>
    </row>
    <row r="138" spans="1:13" x14ac:dyDescent="0.25">
      <c r="A138" s="3" t="s">
        <v>24</v>
      </c>
      <c r="B138">
        <v>4.9695536223079602E-3</v>
      </c>
      <c r="C138">
        <v>4.9695536223079602E-3</v>
      </c>
      <c r="D138">
        <v>0</v>
      </c>
      <c r="E138">
        <v>0.29817321733847801</v>
      </c>
      <c r="F138">
        <v>0.57646822018772403</v>
      </c>
      <c r="G138">
        <v>0.10933017969077501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6.0892755384073403E-3</v>
      </c>
    </row>
    <row r="139" spans="1:13" x14ac:dyDescent="0.25">
      <c r="A139" s="3" t="s">
        <v>24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0.54543881220453305</v>
      </c>
      <c r="H139">
        <v>0.409442735028202</v>
      </c>
      <c r="I139">
        <v>0</v>
      </c>
      <c r="J139">
        <v>0</v>
      </c>
      <c r="K139">
        <v>0</v>
      </c>
      <c r="L139">
        <v>3.9029177228857702E-2</v>
      </c>
      <c r="M139">
        <v>6.0892755384073403E-3</v>
      </c>
    </row>
    <row r="140" spans="1:13" x14ac:dyDescent="0.25">
      <c r="A140" s="3" t="s">
        <v>24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0.50824980228149597</v>
      </c>
      <c r="I140">
        <v>0.40806811903178802</v>
      </c>
      <c r="J140">
        <v>0</v>
      </c>
      <c r="K140">
        <v>0</v>
      </c>
      <c r="L140">
        <v>7.7592803148308395E-2</v>
      </c>
      <c r="M140">
        <v>6.0892755384073403E-3</v>
      </c>
    </row>
    <row r="141" spans="1:13" x14ac:dyDescent="0.25">
      <c r="A141" s="3" t="s">
        <v>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0.43780021423583498</v>
      </c>
      <c r="J141">
        <v>0.42654249444120002</v>
      </c>
      <c r="K141">
        <v>0</v>
      </c>
      <c r="L141">
        <v>0.12956801578455801</v>
      </c>
      <c r="M141">
        <v>6.0892755384073403E-3</v>
      </c>
    </row>
    <row r="142" spans="1:13" x14ac:dyDescent="0.25">
      <c r="A142" s="3" t="s">
        <v>24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0.52114679318242196</v>
      </c>
      <c r="K142">
        <v>0</v>
      </c>
      <c r="L142">
        <v>0.47276393127917099</v>
      </c>
      <c r="M142">
        <v>6.0892755384073403E-3</v>
      </c>
    </row>
    <row r="143" spans="1:13" x14ac:dyDescent="0.25">
      <c r="A143" s="3" t="s">
        <v>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0.99391072446159301</v>
      </c>
      <c r="L143">
        <v>0</v>
      </c>
      <c r="M143">
        <v>6.0892755384073403E-3</v>
      </c>
    </row>
    <row r="144" spans="1:13" x14ac:dyDescent="0.25">
      <c r="A144" s="3" t="s">
        <v>24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</row>
    <row r="145" spans="1:13" x14ac:dyDescent="0.25">
      <c r="A145" s="3" t="s">
        <v>24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</row>
    <row r="146" spans="1:13" x14ac:dyDescent="0.25">
      <c r="A146" s="6" t="s">
        <v>25</v>
      </c>
      <c r="B146" s="1">
        <f>1-(C146+M146)</f>
        <v>0.98624236831707146</v>
      </c>
      <c r="C146" s="1">
        <f>0.00939608133080497*(1-0.7)</f>
        <v>2.8188243992414916E-3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1.0938807283686999E-2</v>
      </c>
    </row>
    <row r="147" spans="1:13" x14ac:dyDescent="0.25">
      <c r="A147" s="3" t="s">
        <v>25</v>
      </c>
      <c r="B147">
        <v>0.408482272591837</v>
      </c>
      <c r="C147">
        <v>0.485727951742981</v>
      </c>
      <c r="D147">
        <v>8.2046087649992702E-2</v>
      </c>
      <c r="E147">
        <v>1.2804880731501701E-2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1.0938807283686999E-2</v>
      </c>
    </row>
    <row r="148" spans="1:13" x14ac:dyDescent="0.25">
      <c r="A148" s="3" t="s">
        <v>25</v>
      </c>
      <c r="B148">
        <v>0.100092992702891</v>
      </c>
      <c r="C148">
        <v>1.1077485358422699E-2</v>
      </c>
      <c r="D148">
        <v>0.72943262962828104</v>
      </c>
      <c r="E148">
        <v>0.11868734312595799</v>
      </c>
      <c r="F148">
        <v>2.9770741900761E-2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1.0938807283686999E-2</v>
      </c>
    </row>
    <row r="149" spans="1:13" x14ac:dyDescent="0.25">
      <c r="A149" s="3" t="s">
        <v>25</v>
      </c>
      <c r="B149">
        <v>0.16922837007376099</v>
      </c>
      <c r="C149">
        <v>1.87921626616099E-2</v>
      </c>
      <c r="D149">
        <v>0.34617141745071001</v>
      </c>
      <c r="E149">
        <v>0.45002284268592202</v>
      </c>
      <c r="F149">
        <v>4.8463998443099296E-3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1.0938807283686999E-2</v>
      </c>
    </row>
    <row r="150" spans="1:13" x14ac:dyDescent="0.25">
      <c r="A150" s="3" t="s">
        <v>25</v>
      </c>
      <c r="B150">
        <v>4.9453059635815597E-3</v>
      </c>
      <c r="C150">
        <v>4.9453059635815597E-3</v>
      </c>
      <c r="D150">
        <v>0</v>
      </c>
      <c r="E150">
        <v>0.28682774588773102</v>
      </c>
      <c r="F150">
        <v>0.52420243213964601</v>
      </c>
      <c r="G150">
        <v>0.168140402761773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1.0938807283686999E-2</v>
      </c>
    </row>
    <row r="151" spans="1:13" x14ac:dyDescent="0.25">
      <c r="A151" s="3" t="s">
        <v>25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0.54277748380773305</v>
      </c>
      <c r="H151">
        <v>0.407444964511671</v>
      </c>
      <c r="I151">
        <v>0</v>
      </c>
      <c r="J151">
        <v>0</v>
      </c>
      <c r="K151">
        <v>0</v>
      </c>
      <c r="L151">
        <v>3.8838744396908903E-2</v>
      </c>
      <c r="M151">
        <v>1.0938807283686999E-2</v>
      </c>
    </row>
    <row r="152" spans="1:13" x14ac:dyDescent="0.25">
      <c r="A152" s="3" t="s">
        <v>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0.50576992809356902</v>
      </c>
      <c r="I152">
        <v>0.40607705560045898</v>
      </c>
      <c r="J152">
        <v>0</v>
      </c>
      <c r="K152">
        <v>0</v>
      </c>
      <c r="L152">
        <v>7.7214209022284902E-2</v>
      </c>
      <c r="M152">
        <v>1.0938807283686999E-2</v>
      </c>
    </row>
    <row r="153" spans="1:13" x14ac:dyDescent="0.25">
      <c r="A153" s="3" t="s">
        <v>25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0.43566408069307999</v>
      </c>
      <c r="J153">
        <v>0.42446129004668598</v>
      </c>
      <c r="K153">
        <v>0</v>
      </c>
      <c r="L153">
        <v>0.12893582197654699</v>
      </c>
      <c r="M153">
        <v>1.0938807283686999E-2</v>
      </c>
    </row>
    <row r="154" spans="1:13" x14ac:dyDescent="0.25">
      <c r="A154" s="3" t="s">
        <v>25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0.51860399144451197</v>
      </c>
      <c r="K154">
        <v>0</v>
      </c>
      <c r="L154">
        <v>0.47045720127180202</v>
      </c>
      <c r="M154">
        <v>1.0938807283686999E-2</v>
      </c>
    </row>
    <row r="155" spans="1:13" x14ac:dyDescent="0.25">
      <c r="A155" s="3" t="s">
        <v>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0.98906119271631299</v>
      </c>
      <c r="L155">
        <v>0</v>
      </c>
      <c r="M155">
        <v>1.0938807283686999E-2</v>
      </c>
    </row>
    <row r="156" spans="1:13" x14ac:dyDescent="0.25">
      <c r="A156" s="3" t="s">
        <v>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</row>
    <row r="157" spans="1:13" x14ac:dyDescent="0.25">
      <c r="A157" s="3" t="s">
        <v>25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</row>
    <row r="158" spans="1:13" x14ac:dyDescent="0.25">
      <c r="A158" s="6" t="s">
        <v>26</v>
      </c>
      <c r="B158" s="1">
        <f>1-(C158+M158)</f>
        <v>0.97675892706098477</v>
      </c>
      <c r="C158" s="1">
        <f>0.00489113133230338*(1-0.7)</f>
        <v>1.4673393996910142E-3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2.17737335393242E-2</v>
      </c>
    </row>
    <row r="159" spans="1:13" x14ac:dyDescent="0.25">
      <c r="A159" s="3" t="s">
        <v>26</v>
      </c>
      <c r="B159">
        <v>0.404007448048259</v>
      </c>
      <c r="C159">
        <v>0.48040691945883801</v>
      </c>
      <c r="D159">
        <v>8.1147292594845696E-2</v>
      </c>
      <c r="E159">
        <v>1.2664606358733101E-2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2.17737335393242E-2</v>
      </c>
    </row>
    <row r="160" spans="1:13" x14ac:dyDescent="0.25">
      <c r="A160" s="3" t="s">
        <v>26</v>
      </c>
      <c r="B160">
        <v>9.8996498165820401E-2</v>
      </c>
      <c r="C160">
        <v>1.09561341843596E-2</v>
      </c>
      <c r="D160">
        <v>0.72144187151474803</v>
      </c>
      <c r="E160">
        <v>0.117387151975281</v>
      </c>
      <c r="F160">
        <v>2.9444610620466299E-2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2.17737335393242E-2</v>
      </c>
    </row>
    <row r="161" spans="1:13" x14ac:dyDescent="0.25">
      <c r="A161" s="3" t="s">
        <v>26</v>
      </c>
      <c r="B161">
        <v>0.16737451419142199</v>
      </c>
      <c r="C161">
        <v>1.85862990627528E-2</v>
      </c>
      <c r="D161">
        <v>0.342379193261237</v>
      </c>
      <c r="E161">
        <v>0.44421254759979301</v>
      </c>
      <c r="F161">
        <v>5.6737123454719202E-3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2.17737335393242E-2</v>
      </c>
    </row>
    <row r="162" spans="1:13" x14ac:dyDescent="0.25">
      <c r="A162" s="3" t="s">
        <v>26</v>
      </c>
      <c r="B162">
        <v>2.44556566615169E-3</v>
      </c>
      <c r="C162">
        <v>2.44556566615169E-3</v>
      </c>
      <c r="D162">
        <v>0</v>
      </c>
      <c r="E162">
        <v>0.195645253292135</v>
      </c>
      <c r="F162">
        <v>0.63878175199882103</v>
      </c>
      <c r="G162">
        <v>0.13890812983741599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2.17737335393242E-2</v>
      </c>
    </row>
    <row r="163" spans="1:13" x14ac:dyDescent="0.25">
      <c r="A163" s="3" t="s">
        <v>26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0.53683148769183398</v>
      </c>
      <c r="H163">
        <v>0.40298150342733702</v>
      </c>
      <c r="I163">
        <v>0</v>
      </c>
      <c r="J163">
        <v>0</v>
      </c>
      <c r="K163">
        <v>0</v>
      </c>
      <c r="L163">
        <v>3.8413275341504599E-2</v>
      </c>
      <c r="M163">
        <v>2.17737335393242E-2</v>
      </c>
    </row>
    <row r="164" spans="1:13" x14ac:dyDescent="0.25">
      <c r="A164" s="3" t="s">
        <v>26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0.50022934080375503</v>
      </c>
      <c r="I164">
        <v>0.401628579627548</v>
      </c>
      <c r="J164">
        <v>0</v>
      </c>
      <c r="K164">
        <v>0</v>
      </c>
      <c r="L164">
        <v>7.6368346029373202E-2</v>
      </c>
      <c r="M164">
        <v>2.17737335393242E-2</v>
      </c>
    </row>
    <row r="165" spans="1:13" x14ac:dyDescent="0.25">
      <c r="A165" s="3" t="s">
        <v>26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0.43089148601309302</v>
      </c>
      <c r="J165">
        <v>0.41981141922989901</v>
      </c>
      <c r="K165">
        <v>0</v>
      </c>
      <c r="L165">
        <v>0.12752336121768401</v>
      </c>
      <c r="M165">
        <v>2.17737335393242E-2</v>
      </c>
    </row>
    <row r="166" spans="1:13" x14ac:dyDescent="0.25">
      <c r="A166" s="3" t="s">
        <v>26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0.51292281009338703</v>
      </c>
      <c r="K166">
        <v>0</v>
      </c>
      <c r="L166">
        <v>0.46530345636728798</v>
      </c>
      <c r="M166">
        <v>2.17737335393242E-2</v>
      </c>
    </row>
    <row r="167" spans="1:13" x14ac:dyDescent="0.25">
      <c r="A167" s="3" t="s">
        <v>26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0.97822626646067601</v>
      </c>
      <c r="L167">
        <v>0</v>
      </c>
      <c r="M167">
        <v>2.17737335393242E-2</v>
      </c>
    </row>
    <row r="168" spans="1:13" x14ac:dyDescent="0.25">
      <c r="A168" s="3" t="s">
        <v>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</row>
    <row r="169" spans="1:13" x14ac:dyDescent="0.25">
      <c r="A169" s="3" t="s">
        <v>26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</row>
    <row r="170" spans="1:13" x14ac:dyDescent="0.25">
      <c r="A170" s="6" t="s">
        <v>27</v>
      </c>
      <c r="B170" s="1">
        <f>1-(C170+M170)</f>
        <v>0.94750415767009377</v>
      </c>
      <c r="C170" s="1">
        <f>0.000947788494218359*(1-0.7)</f>
        <v>2.8433654826550775E-4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5.2211505781640702E-2</v>
      </c>
    </row>
    <row r="171" spans="1:13" x14ac:dyDescent="0.25">
      <c r="A171" s="3" t="s">
        <v>27</v>
      </c>
      <c r="B171">
        <v>0.39143664811218198</v>
      </c>
      <c r="C171">
        <v>0.465458929510636</v>
      </c>
      <c r="D171">
        <v>7.8622372855142703E-2</v>
      </c>
      <c r="E171">
        <v>1.2270543740398E-2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5.2211505781640702E-2</v>
      </c>
    </row>
    <row r="172" spans="1:13" x14ac:dyDescent="0.25">
      <c r="A172" s="3" t="s">
        <v>27</v>
      </c>
      <c r="B172">
        <v>9.5916195614898003E-2</v>
      </c>
      <c r="C172">
        <v>1.06152311352456E-2</v>
      </c>
      <c r="D172">
        <v>0.69899401448604004</v>
      </c>
      <c r="E172">
        <v>0.113734619306203</v>
      </c>
      <c r="F172">
        <v>2.85284336759726E-2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5.2211505781640702E-2</v>
      </c>
    </row>
    <row r="173" spans="1:13" x14ac:dyDescent="0.25">
      <c r="A173" s="3" t="s">
        <v>27</v>
      </c>
      <c r="B173">
        <v>0.16216661136076099</v>
      </c>
      <c r="C173">
        <v>1.8007981390148801E-2</v>
      </c>
      <c r="D173">
        <v>0.33172597297642598</v>
      </c>
      <c r="E173">
        <v>0.42546225505462199</v>
      </c>
      <c r="F173">
        <v>1.0425673436401999E-2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5.2211505781640702E-2</v>
      </c>
    </row>
    <row r="174" spans="1:13" x14ac:dyDescent="0.25">
      <c r="A174" s="3" t="s">
        <v>27</v>
      </c>
      <c r="B174">
        <v>2.3694712355458998E-3</v>
      </c>
      <c r="C174">
        <v>2.3694712355458998E-3</v>
      </c>
      <c r="D174">
        <v>0</v>
      </c>
      <c r="E174">
        <v>0.18955769884367199</v>
      </c>
      <c r="F174">
        <v>0.64733954155113904</v>
      </c>
      <c r="G174">
        <v>0.10615231135245599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5.2211505781640702E-2</v>
      </c>
    </row>
    <row r="175" spans="1:13" x14ac:dyDescent="0.25">
      <c r="A175" s="3" t="s">
        <v>27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0.52012783219300196</v>
      </c>
      <c r="H175">
        <v>0.39044262603287999</v>
      </c>
      <c r="I175">
        <v>0</v>
      </c>
      <c r="J175">
        <v>0</v>
      </c>
      <c r="K175">
        <v>0</v>
      </c>
      <c r="L175">
        <v>3.7218035992477E-2</v>
      </c>
      <c r="M175">
        <v>5.2211505781640702E-2</v>
      </c>
    </row>
    <row r="176" spans="1:13" x14ac:dyDescent="0.25">
      <c r="A176" s="3" t="s">
        <v>27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0.48466457090711601</v>
      </c>
      <c r="I176">
        <v>0.389131798819424</v>
      </c>
      <c r="J176">
        <v>0</v>
      </c>
      <c r="K176">
        <v>0</v>
      </c>
      <c r="L176">
        <v>7.3992124491819605E-2</v>
      </c>
      <c r="M176">
        <v>5.2211505781640702E-2</v>
      </c>
    </row>
    <row r="177" spans="1:13" x14ac:dyDescent="0.25">
      <c r="A177" s="3" t="s">
        <v>27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0.41748418203640397</v>
      </c>
      <c r="J177">
        <v>0.40674887449832497</v>
      </c>
      <c r="K177">
        <v>0</v>
      </c>
      <c r="L177">
        <v>0.123555437683631</v>
      </c>
      <c r="M177">
        <v>5.2211505781640702E-2</v>
      </c>
    </row>
    <row r="178" spans="1:13" x14ac:dyDescent="0.25">
      <c r="A178" s="3" t="s">
        <v>27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0.49696307950058899</v>
      </c>
      <c r="K178">
        <v>0</v>
      </c>
      <c r="L178">
        <v>0.45082541471776999</v>
      </c>
      <c r="M178">
        <v>5.2211505781640702E-2</v>
      </c>
    </row>
    <row r="179" spans="1:13" x14ac:dyDescent="0.25">
      <c r="A179" s="3" t="s">
        <v>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0.94778849421835898</v>
      </c>
      <c r="L179">
        <v>0</v>
      </c>
      <c r="M179">
        <v>5.2211505781640702E-2</v>
      </c>
    </row>
    <row r="180" spans="1:13" x14ac:dyDescent="0.25">
      <c r="A180" s="3" t="s">
        <v>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</row>
    <row r="181" spans="1:13" x14ac:dyDescent="0.25">
      <c r="A181" s="3" t="s">
        <v>27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probs2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MONTOLIU GIMENEZ, ALEXANDRA</dc:creator>
  <cp:lastModifiedBy>MONTOLIU GIMENEZ, ALEXANDRA</cp:lastModifiedBy>
  <dcterms:created xsi:type="dcterms:W3CDTF">2025-04-14T09:46:31Z</dcterms:created>
  <dcterms:modified xsi:type="dcterms:W3CDTF">2025-04-14T13:05:19Z</dcterms:modified>
</cp:coreProperties>
</file>